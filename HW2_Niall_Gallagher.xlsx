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niallgallagher/Desktop/Stats - Stern/Class 4/"/>
    </mc:Choice>
  </mc:AlternateContent>
  <xr:revisionPtr revIDLastSave="0" documentId="13_ncr:1_{27FD67A7-C4FA-BD46-980C-1E4AC3C01B47}" xr6:coauthVersionLast="47" xr6:coauthVersionMax="47" xr10:uidLastSave="{00000000-0000-0000-0000-000000000000}"/>
  <bookViews>
    <workbookView xWindow="0" yWindow="660" windowWidth="30240" windowHeight="1898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9" i="1" l="1"/>
  <c r="C77" i="1"/>
  <c r="C72" i="1"/>
  <c r="C69" i="1"/>
  <c r="F71" i="1"/>
  <c r="C9" i="1"/>
  <c r="C7" i="1"/>
  <c r="C60" i="1"/>
  <c r="C59" i="1"/>
  <c r="C80" i="1"/>
  <c r="C55" i="1"/>
  <c r="C56" i="1" s="1"/>
  <c r="D44" i="1"/>
  <c r="B44" i="1"/>
  <c r="C45" i="1"/>
  <c r="B45" i="1"/>
  <c r="C44" i="1"/>
  <c r="B53" i="1"/>
  <c r="C61" i="1"/>
  <c r="B52" i="1"/>
  <c r="C46" i="1"/>
  <c r="C53" i="1"/>
  <c r="D53" i="1" s="1"/>
  <c r="C52" i="1"/>
  <c r="C51" i="1"/>
  <c r="B51" i="1"/>
  <c r="C50" i="1"/>
  <c r="B50" i="1"/>
  <c r="C49" i="1"/>
  <c r="B49" i="1"/>
  <c r="C48" i="1"/>
  <c r="B48" i="1"/>
  <c r="C47" i="1"/>
  <c r="B47" i="1"/>
  <c r="B46" i="1"/>
  <c r="D46" i="1" s="1"/>
  <c r="F81" i="1"/>
  <c r="F79" i="1"/>
  <c r="F82" i="1" s="1"/>
  <c r="C30" i="1"/>
  <c r="C36" i="1"/>
  <c r="C39" i="1" s="1"/>
  <c r="C31" i="1"/>
  <c r="C29" i="1"/>
  <c r="C28" i="1"/>
  <c r="C27" i="1"/>
  <c r="C26" i="1"/>
  <c r="J16" i="1"/>
  <c r="I16" i="1"/>
  <c r="H16" i="1"/>
  <c r="G16" i="1"/>
  <c r="F16" i="1"/>
  <c r="K15" i="1"/>
  <c r="C19" i="1" s="1"/>
  <c r="K14" i="1"/>
  <c r="D47" i="1" l="1"/>
  <c r="D51" i="1"/>
  <c r="D50" i="1"/>
  <c r="D48" i="1"/>
  <c r="D49" i="1"/>
  <c r="D45" i="1"/>
  <c r="D52" i="1"/>
  <c r="K16" i="1"/>
  <c r="C38" i="1"/>
  <c r="C37" i="1"/>
  <c r="C17" i="1" l="1"/>
  <c r="C13" i="1"/>
  <c r="C21" i="1"/>
  <c r="C15" i="1"/>
</calcChain>
</file>

<file path=xl/sharedStrings.xml><?xml version="1.0" encoding="utf-8"?>
<sst xmlns="http://schemas.openxmlformats.org/spreadsheetml/2006/main" count="96" uniqueCount="91">
  <si>
    <t>Niall Gallagher</t>
  </si>
  <si>
    <t>Statistics HW 2</t>
  </si>
  <si>
    <t xml:space="preserve">   A: Observe at least one head.</t>
  </si>
  <si>
    <t xml:space="preserve">   B: Observe at least one tail.</t>
  </si>
  <si>
    <t>USA</t>
  </si>
  <si>
    <t>Europe</t>
  </si>
  <si>
    <t>Latin America</t>
  </si>
  <si>
    <t>Asia</t>
  </si>
  <si>
    <t>Other</t>
  </si>
  <si>
    <t>Total</t>
  </si>
  <si>
    <t>Male</t>
  </si>
  <si>
    <t>Female</t>
  </si>
  <si>
    <t>P(European)</t>
  </si>
  <si>
    <t>P(Asian | Female)</t>
  </si>
  <si>
    <t>P(Male | not European)</t>
  </si>
  <si>
    <t>Jar A red</t>
  </si>
  <si>
    <t>Jar A green</t>
  </si>
  <si>
    <t>Jar B red</t>
  </si>
  <si>
    <t>Jar B green</t>
  </si>
  <si>
    <t>P(heads)</t>
  </si>
  <si>
    <t>P(tails)</t>
  </si>
  <si>
    <t>Var(X)</t>
  </si>
  <si>
    <t>Var(Y)</t>
  </si>
  <si>
    <t>corr(X,Y)</t>
  </si>
  <si>
    <t>Rooms</t>
  </si>
  <si>
    <t>P(show up)</t>
  </si>
  <si>
    <t>X</t>
  </si>
  <si>
    <t>P(X=x)</t>
  </si>
  <si>
    <t>(X-40)</t>
  </si>
  <si>
    <t>(X-40)*P</t>
  </si>
  <si>
    <t>w1</t>
  </si>
  <si>
    <t>w2</t>
  </si>
  <si>
    <t>Shipment N</t>
  </si>
  <si>
    <t>Sample n</t>
  </si>
  <si>
    <t>Rate / hour</t>
  </si>
  <si>
    <t>P(Male U non-USA)</t>
  </si>
  <si>
    <t>P(European n Female)</t>
  </si>
  <si>
    <t>n Reservations</t>
  </si>
  <si>
    <t>comp customer</t>
  </si>
  <si>
    <t>Sample</t>
  </si>
  <si>
    <t>corr (1,2)</t>
  </si>
  <si>
    <t>n(A) &gt;=1 head</t>
  </si>
  <si>
    <t>n(B) &gt;=1 tail</t>
  </si>
  <si>
    <t>n(A n B)</t>
  </si>
  <si>
    <t>E(return)</t>
  </si>
  <si>
    <t>Var(return)</t>
  </si>
  <si>
    <t>E(turned away)</t>
  </si>
  <si>
    <t>A) P(A n B)</t>
  </si>
  <si>
    <t>B) P(A u B)</t>
  </si>
  <si>
    <t>6)</t>
  </si>
  <si>
    <t>7)</t>
  </si>
  <si>
    <t>8)</t>
  </si>
  <si>
    <t>Defective (A)</t>
  </si>
  <si>
    <t>Defective (B)</t>
  </si>
  <si>
    <t>lambda A</t>
  </si>
  <si>
    <t>lambda B</t>
  </si>
  <si>
    <t>hr</t>
  </si>
  <si>
    <t>B</t>
  </si>
  <si>
    <t>people</t>
  </si>
  <si>
    <t>A</t>
  </si>
  <si>
    <t>5)</t>
  </si>
  <si>
    <t>4)</t>
  </si>
  <si>
    <t>3)</t>
  </si>
  <si>
    <t>2)</t>
  </si>
  <si>
    <t>1)</t>
  </si>
  <si>
    <t>binomial A</t>
  </si>
  <si>
    <t>binomial B</t>
  </si>
  <si>
    <t>E(return1)</t>
  </si>
  <si>
    <t>E(return2)</t>
  </si>
  <si>
    <t>Exp. compensation</t>
  </si>
  <si>
    <t xml:space="preserve"> P(red | heads)</t>
  </si>
  <si>
    <t xml:space="preserve"> P(red | tails)</t>
  </si>
  <si>
    <t>P(red n heads)</t>
  </si>
  <si>
    <t>P(red n tails)</t>
  </si>
  <si>
    <t>P(red)</t>
  </si>
  <si>
    <t>P(tails | green)</t>
  </si>
  <si>
    <t xml:space="preserve"> Cov(X,Y)</t>
  </si>
  <si>
    <t xml:space="preserve"> Cov(2X,3Y)</t>
  </si>
  <si>
    <t xml:space="preserve"> Var(X+Y)</t>
  </si>
  <si>
    <t xml:space="preserve"> Var(2X+3Y)</t>
  </si>
  <si>
    <t>A)</t>
  </si>
  <si>
    <t>P(none | 20 defective)</t>
  </si>
  <si>
    <t>B)</t>
  </si>
  <si>
    <t>P(send back | 10 defective)</t>
  </si>
  <si>
    <t>P(X=11)</t>
  </si>
  <si>
    <t>P(X&gt;=3)</t>
  </si>
  <si>
    <t>std1</t>
  </si>
  <si>
    <t>std2</t>
  </si>
  <si>
    <t>std(return)</t>
  </si>
  <si>
    <t xml:space="preserve">A duration </t>
  </si>
  <si>
    <t xml:space="preserve">B duration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</si>
</sst>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_);[Red]&quot;($&quot;#,##0\)"/>
    <numFmt numFmtId="165" formatCode="0.000"/>
    <numFmt numFmtId="166" formatCode="0.0"/>
    <numFmt numFmtId="167" formatCode="\$#,##0.0"/>
    <numFmt numFmtId="168" formatCode="0.0000"/>
  </numFmts>
  <fonts count="4">
    <font>
      <sz val="11"/>
      <color theme="1"/>
      <name val="Calibri"/>
      <family val="2"/>
      <charset val="1"/>
    </font>
    <font>
      <sz val="12"/>
      <name val="Aptos Narrow"/>
    </font>
    <font>
      <b/>
      <sz val="12"/>
      <name val="Aptos Narrow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5" fontId="1" fillId="0" borderId="0" xfId="0" applyNumberFormat="1" applyFont="1"/>
    <xf numFmtId="1" fontId="1" fillId="0" borderId="0" xfId="0" applyNumberFormat="1" applyFont="1"/>
    <xf numFmtId="0" fontId="2" fillId="0" borderId="0" xfId="0" applyFont="1"/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 vertical="top"/>
    </xf>
    <xf numFmtId="2" fontId="2" fillId="0" borderId="4" xfId="0" applyNumberFormat="1" applyFont="1" applyBorder="1"/>
    <xf numFmtId="0" fontId="0" fillId="0" borderId="4" xfId="0" applyBorder="1"/>
    <xf numFmtId="165" fontId="2" fillId="0" borderId="4" xfId="0" applyNumberFormat="1" applyFont="1" applyBorder="1"/>
    <xf numFmtId="2" fontId="2" fillId="0" borderId="6" xfId="0" applyNumberFormat="1" applyFont="1" applyBorder="1"/>
    <xf numFmtId="166" fontId="2" fillId="0" borderId="2" xfId="0" applyNumberFormat="1" applyFont="1" applyBorder="1"/>
    <xf numFmtId="1" fontId="2" fillId="0" borderId="2" xfId="0" applyNumberFormat="1" applyFont="1" applyBorder="1"/>
    <xf numFmtId="1" fontId="2" fillId="0" borderId="4" xfId="0" applyNumberFormat="1" applyFont="1" applyBorder="1"/>
    <xf numFmtId="1" fontId="2" fillId="0" borderId="6" xfId="0" applyNumberFormat="1" applyFont="1" applyBorder="1"/>
    <xf numFmtId="0" fontId="2" fillId="0" borderId="1" xfId="0" applyFont="1" applyBorder="1" applyAlignment="1">
      <alignment horizontal="right"/>
    </xf>
    <xf numFmtId="2" fontId="2" fillId="0" borderId="2" xfId="0" applyNumberFormat="1" applyFont="1" applyBorder="1"/>
    <xf numFmtId="167" fontId="2" fillId="0" borderId="6" xfId="0" applyNumberFormat="1" applyFont="1" applyBorder="1"/>
    <xf numFmtId="165" fontId="2" fillId="0" borderId="2" xfId="0" applyNumberFormat="1" applyFont="1" applyBorder="1"/>
    <xf numFmtId="2" fontId="2" fillId="0" borderId="8" xfId="0" applyNumberFormat="1" applyFont="1" applyBorder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0" fillId="0" borderId="3" xfId="0" applyBorder="1" applyAlignment="1">
      <alignment horizontal="right"/>
    </xf>
    <xf numFmtId="0" fontId="2" fillId="0" borderId="7" xfId="0" applyFont="1" applyBorder="1" applyAlignment="1">
      <alignment horizontal="right"/>
    </xf>
    <xf numFmtId="1" fontId="1" fillId="0" borderId="0" xfId="0" applyNumberFormat="1" applyFont="1" applyAlignment="1">
      <alignment horizontal="center" vertical="center"/>
    </xf>
    <xf numFmtId="166" fontId="2" fillId="0" borderId="6" xfId="0" applyNumberFormat="1" applyFont="1" applyBorder="1"/>
    <xf numFmtId="168" fontId="1" fillId="0" borderId="0" xfId="0" applyNumberFormat="1" applyFont="1"/>
    <xf numFmtId="165" fontId="0" fillId="0" borderId="0" xfId="0" applyNumberFormat="1"/>
    <xf numFmtId="168" fontId="2" fillId="0" borderId="4" xfId="0" applyNumberFormat="1" applyFont="1" applyBorder="1"/>
    <xf numFmtId="168" fontId="2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9AED65-A124-6940-8E39-E653F84E6BB5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0b9d14e-058c-4f56-8b87-00d1810a446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topLeftCell="A39" zoomScaleNormal="100" workbookViewId="0">
      <selection activeCell="F70" sqref="F70"/>
    </sheetView>
  </sheetViews>
  <sheetFormatPr baseColWidth="10" defaultColWidth="8.6640625" defaultRowHeight="15"/>
  <cols>
    <col min="1" max="1" width="8" customWidth="1"/>
    <col min="2" max="2" width="24" bestFit="1" customWidth="1"/>
    <col min="3" max="3" width="13.5" bestFit="1" customWidth="1"/>
    <col min="4" max="4" width="10" customWidth="1"/>
    <col min="5" max="5" width="12.1640625" bestFit="1" customWidth="1"/>
    <col min="6" max="6" width="13.6640625" bestFit="1" customWidth="1"/>
    <col min="7" max="7" width="6.83203125" bestFit="1" customWidth="1"/>
    <col min="8" max="8" width="13.6640625" customWidth="1"/>
    <col min="9" max="9" width="5.33203125" customWidth="1"/>
    <col min="10" max="10" width="5.83203125" bestFit="1" customWidth="1"/>
    <col min="11" max="11" width="5.1640625" bestFit="1" customWidth="1"/>
    <col min="12" max="13" width="10" customWidth="1"/>
  </cols>
  <sheetData>
    <row r="1" spans="1:11" ht="16">
      <c r="A1" s="1" t="s">
        <v>0</v>
      </c>
      <c r="C1" s="1" t="s">
        <v>1</v>
      </c>
      <c r="E1" s="2">
        <v>46212</v>
      </c>
    </row>
    <row r="3" spans="1:11" ht="16">
      <c r="A3" s="25" t="s">
        <v>64</v>
      </c>
      <c r="E3" s="1" t="s">
        <v>39</v>
      </c>
      <c r="F3" s="3">
        <v>4</v>
      </c>
    </row>
    <row r="4" spans="1:11" ht="16">
      <c r="A4" s="1" t="s">
        <v>2</v>
      </c>
      <c r="E4" s="1" t="s">
        <v>41</v>
      </c>
      <c r="F4" s="3">
        <v>3</v>
      </c>
    </row>
    <row r="5" spans="1:11" ht="16">
      <c r="A5" s="1" t="s">
        <v>3</v>
      </c>
      <c r="E5" s="1" t="s">
        <v>42</v>
      </c>
      <c r="F5" s="3">
        <v>3</v>
      </c>
    </row>
    <row r="6" spans="1:11" ht="17" thickBot="1">
      <c r="E6" s="1" t="s">
        <v>43</v>
      </c>
      <c r="F6" s="3">
        <v>2</v>
      </c>
    </row>
    <row r="7" spans="1:11" ht="16">
      <c r="A7" s="1"/>
      <c r="B7" s="19" t="s">
        <v>47</v>
      </c>
      <c r="C7" s="15">
        <f>F6/F3</f>
        <v>0.5</v>
      </c>
    </row>
    <row r="8" spans="1:11">
      <c r="B8" s="30"/>
      <c r="C8" s="12"/>
    </row>
    <row r="9" spans="1:11" ht="17" thickBot="1">
      <c r="B9" s="26" t="s">
        <v>48</v>
      </c>
      <c r="C9" s="33">
        <f>(F4+F5-F6)/F3</f>
        <v>1</v>
      </c>
    </row>
    <row r="10" spans="1:11" ht="16">
      <c r="A10" s="1"/>
    </row>
    <row r="11" spans="1:11" ht="16">
      <c r="A11" s="25" t="s">
        <v>63</v>
      </c>
    </row>
    <row r="12" spans="1:11" ht="17" thickBot="1">
      <c r="A12" s="1"/>
    </row>
    <row r="13" spans="1:11" ht="16">
      <c r="A13">
        <v>1</v>
      </c>
      <c r="B13" s="19" t="s">
        <v>12</v>
      </c>
      <c r="C13" s="20">
        <f>G16/K16</f>
        <v>0.12903225806451613</v>
      </c>
      <c r="E13" s="8"/>
      <c r="F13" s="8" t="s">
        <v>4</v>
      </c>
      <c r="G13" s="8" t="s">
        <v>5</v>
      </c>
      <c r="H13" s="8" t="s">
        <v>6</v>
      </c>
      <c r="I13" s="8" t="s">
        <v>7</v>
      </c>
      <c r="J13" s="8" t="s">
        <v>8</v>
      </c>
      <c r="K13" s="8" t="s">
        <v>9</v>
      </c>
    </row>
    <row r="14" spans="1:11" ht="16">
      <c r="A14" s="1"/>
      <c r="B14" s="30"/>
      <c r="C14" s="12"/>
      <c r="E14" s="8" t="s">
        <v>10</v>
      </c>
      <c r="F14" s="32">
        <v>22</v>
      </c>
      <c r="G14" s="32">
        <v>5</v>
      </c>
      <c r="H14" s="32">
        <v>4</v>
      </c>
      <c r="I14" s="32">
        <v>6</v>
      </c>
      <c r="J14" s="32">
        <v>3</v>
      </c>
      <c r="K14" s="32">
        <f>SUM(F14:J14)</f>
        <v>40</v>
      </c>
    </row>
    <row r="15" spans="1:11" ht="16">
      <c r="A15">
        <v>2</v>
      </c>
      <c r="B15" s="27" t="s">
        <v>36</v>
      </c>
      <c r="C15" s="13">
        <f>G15/K16</f>
        <v>4.8387096774193547E-2</v>
      </c>
      <c r="E15" s="8" t="s">
        <v>11</v>
      </c>
      <c r="F15" s="32">
        <v>13</v>
      </c>
      <c r="G15" s="32">
        <v>3</v>
      </c>
      <c r="H15" s="32">
        <v>1</v>
      </c>
      <c r="I15" s="32">
        <v>3</v>
      </c>
      <c r="J15" s="32">
        <v>2</v>
      </c>
      <c r="K15" s="32">
        <f>SUM(F15:J15)</f>
        <v>22</v>
      </c>
    </row>
    <row r="16" spans="1:11" ht="16">
      <c r="A16" s="1"/>
      <c r="B16" s="30"/>
      <c r="C16" s="12"/>
      <c r="E16" s="8" t="s">
        <v>9</v>
      </c>
      <c r="F16" s="32">
        <f>SUM(F14:F15)</f>
        <v>35</v>
      </c>
      <c r="G16" s="32">
        <f>SUM(G14:G15)</f>
        <v>8</v>
      </c>
      <c r="H16" s="32">
        <f>SUM(H14:H15)</f>
        <v>5</v>
      </c>
      <c r="I16" s="32">
        <f>SUM(I14:I15)</f>
        <v>9</v>
      </c>
      <c r="J16" s="32">
        <f>SUM(J14:J15)</f>
        <v>5</v>
      </c>
      <c r="K16" s="32">
        <f>SUM(F16:J16)</f>
        <v>62</v>
      </c>
    </row>
    <row r="17" spans="1:6" ht="16">
      <c r="A17">
        <v>3</v>
      </c>
      <c r="B17" s="27" t="s">
        <v>35</v>
      </c>
      <c r="C17" s="11">
        <f>(K16-F15)/K16</f>
        <v>0.79032258064516125</v>
      </c>
    </row>
    <row r="18" spans="1:6" ht="16">
      <c r="A18" s="1"/>
      <c r="B18" s="30"/>
      <c r="C18" s="12"/>
    </row>
    <row r="19" spans="1:6" ht="16">
      <c r="A19">
        <v>4</v>
      </c>
      <c r="B19" s="27" t="s">
        <v>13</v>
      </c>
      <c r="C19" s="11">
        <f>I15/K15</f>
        <v>0.13636363636363635</v>
      </c>
    </row>
    <row r="20" spans="1:6" ht="16">
      <c r="A20" s="1"/>
      <c r="B20" s="30"/>
      <c r="C20" s="12"/>
    </row>
    <row r="21" spans="1:6" ht="17" thickBot="1">
      <c r="A21">
        <v>5</v>
      </c>
      <c r="B21" s="26" t="s">
        <v>14</v>
      </c>
      <c r="C21" s="14">
        <f>(K14-G14)/(K16-G16)</f>
        <v>0.64814814814814814</v>
      </c>
    </row>
    <row r="24" spans="1:6" ht="16">
      <c r="A24" s="10"/>
      <c r="E24" s="1" t="s">
        <v>15</v>
      </c>
      <c r="F24" s="3">
        <v>7</v>
      </c>
    </row>
    <row r="25" spans="1:6" ht="17" thickBot="1">
      <c r="A25" s="24" t="s">
        <v>62</v>
      </c>
      <c r="E25" s="1" t="s">
        <v>16</v>
      </c>
      <c r="F25" s="3">
        <v>3</v>
      </c>
    </row>
    <row r="26" spans="1:6" ht="16">
      <c r="A26">
        <v>1</v>
      </c>
      <c r="B26" s="19" t="s">
        <v>70</v>
      </c>
      <c r="C26" s="20">
        <f>F24/(F24+F25)</f>
        <v>0.7</v>
      </c>
      <c r="E26" s="1" t="s">
        <v>17</v>
      </c>
      <c r="F26" s="3">
        <v>15</v>
      </c>
    </row>
    <row r="27" spans="1:6" ht="16">
      <c r="A27">
        <v>2</v>
      </c>
      <c r="B27" s="27" t="s">
        <v>71</v>
      </c>
      <c r="C27" s="11">
        <f>F26/(F26+F27)</f>
        <v>0.33333333333333331</v>
      </c>
      <c r="E27" s="1" t="s">
        <v>18</v>
      </c>
      <c r="F27" s="3">
        <v>30</v>
      </c>
    </row>
    <row r="28" spans="1:6" ht="16">
      <c r="A28" s="1">
        <v>3</v>
      </c>
      <c r="B28" s="27" t="s">
        <v>72</v>
      </c>
      <c r="C28" s="11">
        <f>F28*F24/(F24+F25)</f>
        <v>0.35</v>
      </c>
      <c r="E28" s="1" t="s">
        <v>19</v>
      </c>
      <c r="F28" s="5">
        <v>0.5</v>
      </c>
    </row>
    <row r="29" spans="1:6" ht="16">
      <c r="A29">
        <v>4</v>
      </c>
      <c r="B29" s="27" t="s">
        <v>73</v>
      </c>
      <c r="C29" s="11">
        <f>F29*F26/(F26+F27)</f>
        <v>0.16666666666666666</v>
      </c>
      <c r="E29" s="1" t="s">
        <v>20</v>
      </c>
      <c r="F29" s="5">
        <v>0.5</v>
      </c>
    </row>
    <row r="30" spans="1:6" ht="16">
      <c r="A30">
        <v>5</v>
      </c>
      <c r="B30" s="27" t="s">
        <v>74</v>
      </c>
      <c r="C30" s="11">
        <f>F28*F24/(F24+F25)+F29*F26/(F26+F27)</f>
        <v>0.51666666666666661</v>
      </c>
    </row>
    <row r="31" spans="1:6" ht="17" thickBot="1">
      <c r="A31">
        <v>6</v>
      </c>
      <c r="B31" s="26" t="s">
        <v>75</v>
      </c>
      <c r="C31" s="14">
        <f>(F29*F27/(F26+F27))/(F28*F25/(F24+F25)+F29*F27/(F26+F27))</f>
        <v>0.68965517241379315</v>
      </c>
    </row>
    <row r="33" spans="1:7" ht="16">
      <c r="A33" s="10"/>
    </row>
    <row r="34" spans="1:7" ht="16">
      <c r="A34" s="1"/>
    </row>
    <row r="35" spans="1:7" ht="17" thickBot="1">
      <c r="A35" s="24" t="s">
        <v>61</v>
      </c>
      <c r="E35" s="1" t="s">
        <v>21</v>
      </c>
      <c r="F35" s="3">
        <v>25</v>
      </c>
    </row>
    <row r="36" spans="1:7" ht="16">
      <c r="A36">
        <v>1</v>
      </c>
      <c r="B36" s="19" t="s">
        <v>76</v>
      </c>
      <c r="C36" s="16">
        <f>F37*SQRT(F35)*SQRT(F36)</f>
        <v>-10</v>
      </c>
      <c r="E36" s="1" t="s">
        <v>22</v>
      </c>
      <c r="F36" s="3">
        <v>16</v>
      </c>
    </row>
    <row r="37" spans="1:7" ht="16">
      <c r="A37">
        <v>2</v>
      </c>
      <c r="B37" s="27" t="s">
        <v>77</v>
      </c>
      <c r="C37" s="17">
        <f>6*C36</f>
        <v>-60</v>
      </c>
      <c r="E37" s="1" t="s">
        <v>23</v>
      </c>
      <c r="F37" s="5">
        <v>-0.5</v>
      </c>
    </row>
    <row r="38" spans="1:7" ht="16">
      <c r="A38">
        <v>3</v>
      </c>
      <c r="B38" s="27" t="s">
        <v>78</v>
      </c>
      <c r="C38" s="17">
        <f>F35+F36+2*C36</f>
        <v>21</v>
      </c>
    </row>
    <row r="39" spans="1:7" ht="17" thickBot="1">
      <c r="A39">
        <v>4</v>
      </c>
      <c r="B39" s="26" t="s">
        <v>79</v>
      </c>
      <c r="C39" s="18">
        <f>4*F35+9*F36+12*C36</f>
        <v>124</v>
      </c>
    </row>
    <row r="42" spans="1:7" ht="16">
      <c r="A42" s="25" t="s">
        <v>60</v>
      </c>
      <c r="F42" s="1" t="s">
        <v>24</v>
      </c>
      <c r="G42" s="3">
        <v>40</v>
      </c>
    </row>
    <row r="43" spans="1:7" ht="16">
      <c r="A43" s="4" t="s">
        <v>26</v>
      </c>
      <c r="B43" s="4" t="s">
        <v>27</v>
      </c>
      <c r="C43" s="4" t="s">
        <v>28</v>
      </c>
      <c r="D43" s="4" t="s">
        <v>29</v>
      </c>
      <c r="F43" s="1" t="s">
        <v>37</v>
      </c>
      <c r="G43" s="3">
        <v>50</v>
      </c>
    </row>
    <row r="44" spans="1:7" ht="16">
      <c r="A44" s="3">
        <v>41</v>
      </c>
      <c r="B44" s="34">
        <f>_xlfn.BINOM.DIST(A44,$G$43,$G$44,FALSE())</f>
        <v>0.13640878553591751</v>
      </c>
      <c r="C44" s="3">
        <f>A44-$G$42</f>
        <v>1</v>
      </c>
      <c r="D44" s="34">
        <f>C44*B44</f>
        <v>0.13640878553591751</v>
      </c>
      <c r="F44" s="1" t="s">
        <v>25</v>
      </c>
      <c r="G44" s="5">
        <v>0.8</v>
      </c>
    </row>
    <row r="45" spans="1:7" ht="16">
      <c r="A45" s="3">
        <v>42</v>
      </c>
      <c r="B45" s="34">
        <f>_xlfn.BINOM.DIST(A45,$G$43,$G$44,FALSE())</f>
        <v>0.11692181617364357</v>
      </c>
      <c r="C45" s="3">
        <f>A45-$G$42</f>
        <v>2</v>
      </c>
      <c r="D45" s="34">
        <f t="shared" ref="D45:D53" si="0">C45*B45</f>
        <v>0.23384363234728714</v>
      </c>
      <c r="F45" s="1" t="s">
        <v>38</v>
      </c>
      <c r="G45" s="6">
        <v>150</v>
      </c>
    </row>
    <row r="46" spans="1:7" ht="16">
      <c r="A46" s="3">
        <v>43</v>
      </c>
      <c r="B46" s="34">
        <f t="shared" ref="B46:B51" si="1">_xlfn.BINOM.DIST(A46,$G$43,$G$44,FALSE())</f>
        <v>8.7011584129223191E-2</v>
      </c>
      <c r="C46" s="3">
        <f>A46-$G$42</f>
        <v>3</v>
      </c>
      <c r="D46" s="34">
        <f t="shared" si="0"/>
        <v>0.2610347523876696</v>
      </c>
    </row>
    <row r="47" spans="1:7" ht="16">
      <c r="A47" s="3">
        <v>44</v>
      </c>
      <c r="B47" s="34">
        <f t="shared" si="1"/>
        <v>5.5371008082232921E-2</v>
      </c>
      <c r="C47" s="3">
        <f t="shared" ref="C47:C53" si="2">A47-$G$42</f>
        <v>4</v>
      </c>
      <c r="D47" s="34">
        <f>C47*B47</f>
        <v>0.22148403232893168</v>
      </c>
    </row>
    <row r="48" spans="1:7" ht="16">
      <c r="A48" s="3">
        <v>45</v>
      </c>
      <c r="B48" s="34">
        <f t="shared" si="1"/>
        <v>2.9531204310524212E-2</v>
      </c>
      <c r="C48" s="3">
        <f t="shared" si="2"/>
        <v>5</v>
      </c>
      <c r="D48" s="34">
        <f t="shared" si="0"/>
        <v>0.14765602155262106</v>
      </c>
    </row>
    <row r="49" spans="1:10" ht="16">
      <c r="A49" s="3">
        <v>46</v>
      </c>
      <c r="B49" s="34">
        <f t="shared" si="1"/>
        <v>1.2839654048054027E-2</v>
      </c>
      <c r="C49" s="3">
        <f t="shared" si="2"/>
        <v>6</v>
      </c>
      <c r="D49" s="34">
        <f t="shared" si="0"/>
        <v>7.7037924288324164E-2</v>
      </c>
    </row>
    <row r="50" spans="1:10" ht="16">
      <c r="A50" s="3">
        <v>47</v>
      </c>
      <c r="B50" s="34">
        <f t="shared" si="1"/>
        <v>4.3709460589120069E-3</v>
      </c>
      <c r="C50" s="3">
        <f t="shared" si="2"/>
        <v>7</v>
      </c>
      <c r="D50" s="34">
        <f t="shared" si="0"/>
        <v>3.0596622412384047E-2</v>
      </c>
    </row>
    <row r="51" spans="1:10" ht="16">
      <c r="A51" s="3">
        <v>48</v>
      </c>
      <c r="B51" s="34">
        <f t="shared" si="1"/>
        <v>1.0927365147280032E-3</v>
      </c>
      <c r="C51" s="3">
        <f t="shared" si="2"/>
        <v>8</v>
      </c>
      <c r="D51" s="34">
        <f t="shared" si="0"/>
        <v>8.7418921178240259E-3</v>
      </c>
    </row>
    <row r="52" spans="1:10" ht="16">
      <c r="A52" s="3">
        <v>49</v>
      </c>
      <c r="B52" s="34">
        <f>_xlfn.BINOM.DIST(A52,$G$43,$G$44,FALSE())</f>
        <v>1.784059615882452E-4</v>
      </c>
      <c r="C52" s="3">
        <f t="shared" si="2"/>
        <v>9</v>
      </c>
      <c r="D52" s="34">
        <f t="shared" si="0"/>
        <v>1.6056536542942068E-3</v>
      </c>
    </row>
    <row r="53" spans="1:10" ht="16">
      <c r="A53" s="3">
        <v>50</v>
      </c>
      <c r="B53" s="34">
        <f>_xlfn.BINOM.DIST(A53,$G$43,$G$44,FALSE())</f>
        <v>1.4272476927059631E-5</v>
      </c>
      <c r="C53" s="3">
        <f t="shared" si="2"/>
        <v>10</v>
      </c>
      <c r="D53" s="34">
        <f t="shared" si="0"/>
        <v>1.427247692705963E-4</v>
      </c>
    </row>
    <row r="54" spans="1:10" ht="16" thickBot="1"/>
    <row r="55" spans="1:10" ht="16">
      <c r="A55" s="9"/>
      <c r="B55" s="19" t="s">
        <v>46</v>
      </c>
      <c r="C55" s="20">
        <f>SUM(D44:D53)</f>
        <v>1.118552041394524</v>
      </c>
    </row>
    <row r="56" spans="1:10" ht="17" thickBot="1">
      <c r="B56" s="26" t="s">
        <v>69</v>
      </c>
      <c r="C56" s="21">
        <f>G45*C55</f>
        <v>167.7828062091786</v>
      </c>
    </row>
    <row r="57" spans="1:10" ht="16">
      <c r="A57" s="1"/>
    </row>
    <row r="58" spans="1:10" ht="17" thickBot="1">
      <c r="A58" s="25" t="s">
        <v>49</v>
      </c>
    </row>
    <row r="59" spans="1:10" ht="16">
      <c r="B59" s="19" t="s">
        <v>44</v>
      </c>
      <c r="C59" s="22">
        <f>F59*F61+F60*F62</f>
        <v>0.16199999999999998</v>
      </c>
      <c r="E59" s="1" t="s">
        <v>30</v>
      </c>
      <c r="F59" s="5">
        <v>0.4</v>
      </c>
    </row>
    <row r="60" spans="1:10" ht="16">
      <c r="B60" s="27" t="s">
        <v>45</v>
      </c>
      <c r="C60" s="36">
        <f>F59^2*F63^2+F60^2*F64^2+2*F59*F60*F65*F63*F64</f>
        <v>2.4681600000000005E-2</v>
      </c>
      <c r="E60" s="1" t="s">
        <v>31</v>
      </c>
      <c r="F60" s="5">
        <v>0.6</v>
      </c>
      <c r="J60" s="35"/>
    </row>
    <row r="61" spans="1:10" ht="17" thickBot="1">
      <c r="B61" s="26" t="s">
        <v>88</v>
      </c>
      <c r="C61" s="37">
        <f>SQRT(C60)</f>
        <v>0.15710378735091018</v>
      </c>
      <c r="E61" s="1" t="s">
        <v>67</v>
      </c>
      <c r="F61" s="5">
        <v>0.12</v>
      </c>
    </row>
    <row r="62" spans="1:10" ht="16">
      <c r="E62" s="1" t="s">
        <v>68</v>
      </c>
      <c r="F62" s="5">
        <v>0.19</v>
      </c>
      <c r="J62" s="35"/>
    </row>
    <row r="63" spans="1:10" ht="16">
      <c r="E63" s="1" t="s">
        <v>86</v>
      </c>
      <c r="F63" s="5">
        <v>0.09</v>
      </c>
    </row>
    <row r="64" spans="1:10" ht="16">
      <c r="E64" s="1" t="s">
        <v>87</v>
      </c>
      <c r="F64" s="5">
        <v>0.28000000000000003</v>
      </c>
    </row>
    <row r="65" spans="1:9" ht="16">
      <c r="E65" s="1" t="s">
        <v>40</v>
      </c>
      <c r="F65" s="5">
        <v>-0.4</v>
      </c>
    </row>
    <row r="67" spans="1:9" ht="16">
      <c r="A67" s="25" t="s">
        <v>50</v>
      </c>
    </row>
    <row r="68" spans="1:9" ht="17" thickBot="1">
      <c r="A68" s="1"/>
    </row>
    <row r="69" spans="1:9" ht="17" thickBot="1">
      <c r="A69" s="28" t="s">
        <v>80</v>
      </c>
      <c r="B69" s="31" t="s">
        <v>81</v>
      </c>
      <c r="C69" s="23">
        <f>COMBIN(I69-I71,I70)/COMBIN(I69,I70)</f>
        <v>0.27183842465282265</v>
      </c>
      <c r="E69" s="1" t="s">
        <v>65</v>
      </c>
      <c r="F69" s="5">
        <f>(1-I71/I69)^I70</f>
        <v>0.28242953648100017</v>
      </c>
      <c r="H69" s="1" t="s">
        <v>32</v>
      </c>
      <c r="I69" s="3">
        <v>200</v>
      </c>
    </row>
    <row r="70" spans="1:9" ht="16">
      <c r="A70" s="28"/>
      <c r="B70" s="28"/>
      <c r="H70" s="1" t="s">
        <v>33</v>
      </c>
      <c r="I70" s="3">
        <v>12</v>
      </c>
    </row>
    <row r="71" spans="1:9" ht="17" thickBot="1">
      <c r="A71" s="29"/>
      <c r="B71" s="28"/>
      <c r="E71" s="1" t="s">
        <v>66</v>
      </c>
      <c r="F71" s="5">
        <f>1-(1-I72/I69)^I70</f>
        <v>0.45963991233736312</v>
      </c>
      <c r="H71" s="1" t="s">
        <v>52</v>
      </c>
      <c r="I71" s="3">
        <v>20</v>
      </c>
    </row>
    <row r="72" spans="1:9" ht="17" thickBot="1">
      <c r="A72" s="28" t="s">
        <v>82</v>
      </c>
      <c r="B72" s="31" t="s">
        <v>83</v>
      </c>
      <c r="C72" s="23">
        <f>1-COMBIN(I69-I72,I70)/COMBIN(I69,I70)</f>
        <v>0.46932364926603343</v>
      </c>
      <c r="H72" s="1" t="s">
        <v>53</v>
      </c>
      <c r="I72" s="3">
        <v>10</v>
      </c>
    </row>
    <row r="74" spans="1:9" ht="16">
      <c r="A74" s="1"/>
    </row>
    <row r="75" spans="1:9">
      <c r="A75" s="24" t="s">
        <v>51</v>
      </c>
    </row>
    <row r="76" spans="1:9" ht="17" thickBot="1">
      <c r="A76" s="1"/>
      <c r="E76" s="1" t="s">
        <v>34</v>
      </c>
      <c r="F76" s="3">
        <v>12</v>
      </c>
    </row>
    <row r="77" spans="1:9" ht="17" thickBot="1">
      <c r="A77" s="28" t="s">
        <v>80</v>
      </c>
      <c r="B77" s="31" t="s">
        <v>84</v>
      </c>
      <c r="C77" s="23">
        <f>EXP(-F81)*F81^F78/FACT(F78)</f>
        <v>0.11436791550944653</v>
      </c>
      <c r="E77" s="1" t="s">
        <v>89</v>
      </c>
      <c r="F77" s="3">
        <v>1</v>
      </c>
      <c r="G77" t="s">
        <v>56</v>
      </c>
    </row>
    <row r="78" spans="1:9" ht="16">
      <c r="A78" s="28"/>
      <c r="B78" s="28"/>
      <c r="E78" s="1" t="s">
        <v>59</v>
      </c>
      <c r="F78" s="3">
        <v>11</v>
      </c>
      <c r="G78" t="s">
        <v>58</v>
      </c>
    </row>
    <row r="79" spans="1:9" ht="17" thickBot="1">
      <c r="A79" s="29"/>
      <c r="B79" s="28"/>
      <c r="E79" s="1" t="s">
        <v>90</v>
      </c>
      <c r="F79" s="7">
        <f>10/60</f>
        <v>0.16666666666666666</v>
      </c>
      <c r="G79" t="s">
        <v>56</v>
      </c>
    </row>
    <row r="80" spans="1:9" ht="17" thickBot="1">
      <c r="A80" s="28" t="s">
        <v>82</v>
      </c>
      <c r="B80" s="31" t="s">
        <v>85</v>
      </c>
      <c r="C80" s="23">
        <f>1-EXP(-F82)*(1+F82/1+F82^2/FACT(2))</f>
        <v>0.32332358381693649</v>
      </c>
      <c r="E80" s="1" t="s">
        <v>57</v>
      </c>
      <c r="F80" s="3">
        <v>3</v>
      </c>
      <c r="G80" t="s">
        <v>58</v>
      </c>
    </row>
    <row r="81" spans="5:6" ht="16">
      <c r="E81" s="1" t="s">
        <v>54</v>
      </c>
      <c r="F81" s="3">
        <f>F76*F77</f>
        <v>12</v>
      </c>
    </row>
    <row r="82" spans="5:6" ht="16">
      <c r="E82" s="1" t="s">
        <v>55</v>
      </c>
      <c r="F82" s="3">
        <f>F76*F79</f>
        <v>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Niall Gallagher</cp:lastModifiedBy>
  <cp:revision>0</cp:revision>
  <dcterms:created xsi:type="dcterms:W3CDTF">2026-07-09T05:31:42Z</dcterms:created>
  <dcterms:modified xsi:type="dcterms:W3CDTF">2026-07-09T22:13:31Z</dcterms:modified>
  <dc:language>en-US</dc:language>
</cp:coreProperties>
</file>