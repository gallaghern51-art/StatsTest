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allgallagher/Desktop/Stats - Stern/"/>
    </mc:Choice>
  </mc:AlternateContent>
  <xr:revisionPtr revIDLastSave="0" documentId="13_ncr:1_{7AC947E9-3386-8542-BB91-B6ED55D7C7E8}" xr6:coauthVersionLast="47" xr6:coauthVersionMax="47" xr10:uidLastSave="{00000000-0000-0000-0000-000000000000}"/>
  <bookViews>
    <workbookView xWindow="0" yWindow="660" windowWidth="30240" windowHeight="18980" xr2:uid="{EDFE0E2D-F199-5F42-9087-085B34695E8D}"/>
  </bookViews>
  <sheets>
    <sheet name="Solutions Guid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1" i="2" l="1"/>
  <c r="C11" i="2"/>
  <c r="C19" i="2" s="1"/>
  <c r="C81" i="2"/>
  <c r="C82" i="2" s="1"/>
  <c r="C76" i="2"/>
  <c r="C77" i="2" s="1"/>
  <c r="C60" i="2"/>
  <c r="C59" i="2"/>
  <c r="F36" i="2"/>
  <c r="C14" i="2"/>
  <c r="C13" i="2"/>
  <c r="C12" i="2"/>
  <c r="F37" i="2" s="1"/>
  <c r="C10" i="2"/>
  <c r="C9" i="2"/>
  <c r="C29" i="2" l="1"/>
  <c r="F39" i="2"/>
  <c r="C90" i="2" s="1"/>
  <c r="F38" i="2"/>
  <c r="C24" i="2"/>
  <c r="C97" i="2" l="1"/>
  <c r="C91" i="2"/>
  <c r="C93" i="2" s="1"/>
  <c r="C94" i="2" s="1"/>
  <c r="C44" i="2"/>
  <c r="C45" i="2"/>
  <c r="C46" i="2" s="1"/>
  <c r="C47" i="2" s="1"/>
  <c r="F40" i="2"/>
</calcChain>
</file>

<file path=xl/sharedStrings.xml><?xml version="1.0" encoding="utf-8"?>
<sst xmlns="http://schemas.openxmlformats.org/spreadsheetml/2006/main" count="91" uniqueCount="91">
  <si>
    <t>n = number of plays</t>
  </si>
  <si>
    <t>Probability &amp; Statistics Exam — Solutions Guide</t>
  </si>
  <si>
    <t>Step-by-step method and worked answer for every problem.</t>
  </si>
  <si>
    <t>THE GAME (Problems 1–7)</t>
  </si>
  <si>
    <t>Roll a fair die. 5 or 6 → draw from Jar 1; else (1–4) → draw from Jar 2. Jar 1 = 15 red + 5 green (20). Jar 2 = 8 red + 12 green (20). Play once.</t>
  </si>
  <si>
    <t>Event</t>
  </si>
  <si>
    <t>Probability</t>
  </si>
  <si>
    <t>How</t>
  </si>
  <si>
    <t>2 of 6 faces</t>
  </si>
  <si>
    <t>4 of 6 faces</t>
  </si>
  <si>
    <t>P(Green | Jar 1)</t>
  </si>
  <si>
    <t>5 green of 20</t>
  </si>
  <si>
    <t>P(Red | Jar 1)</t>
  </si>
  <si>
    <t>15 red of 20</t>
  </si>
  <si>
    <t>P(Green | Jar 2)</t>
  </si>
  <si>
    <t>12 green of 20</t>
  </si>
  <si>
    <t>P(Red | Jar 2)</t>
  </si>
  <si>
    <t>8 red of 20</t>
  </si>
  <si>
    <t>Problem 1 — P(select a green ball)  (7 pts)</t>
  </si>
  <si>
    <t>Method: total probability — add the two jar paths that give green.</t>
  </si>
  <si>
    <t>P(G) = P(G|5,6)·P(5,6) + P(G|1–4)·P(1–4)</t>
  </si>
  <si>
    <t>Answer:  P(G) =</t>
  </si>
  <si>
    <t>Problem 2 — P(rolled 5 or 6 | green)  (7 pts)</t>
  </si>
  <si>
    <t>Method: Bayes / conditional probability = P(5,6 and G) / P(G).</t>
  </si>
  <si>
    <t>P(5,6 and G) = P(G|5,6)·P(5,6) = 0.0833</t>
  </si>
  <si>
    <t>Answer:  P(5,6 | G) =</t>
  </si>
  <si>
    <t>Problem 3 — P(roll 1–4  ∪  green)  (6 pts)</t>
  </si>
  <si>
    <t>Method: addition rule — P(1–4) + P(G) − P(1–4 and G).</t>
  </si>
  <si>
    <t>P(1–4 and G) = P(G|1–4)·P(1–4) = 0.40</t>
  </si>
  <si>
    <t>Answer:  P(1–4 ∪ G) =</t>
  </si>
  <si>
    <t>PAYOFFS (Problems 4–7)</t>
  </si>
  <si>
    <t>Die profit X: $2 if roll 5–6, $5 if roll 1–4.  Ball profit Y: $4 if red, $3 if green.  Total profit Z = X + Y.</t>
  </si>
  <si>
    <t>Problem 4 — Distribution of profit Z  (12 pts)</t>
  </si>
  <si>
    <t>Case</t>
  </si>
  <si>
    <t>X</t>
  </si>
  <si>
    <t>Y</t>
  </si>
  <si>
    <t>Z=X+Y</t>
  </si>
  <si>
    <t>P(Z)</t>
  </si>
  <si>
    <t>5,6 and Green</t>
  </si>
  <si>
    <t>5,6 and Red</t>
  </si>
  <si>
    <t>1–4 and Green</t>
  </si>
  <si>
    <t>1–4 and Red</t>
  </si>
  <si>
    <t>Total</t>
  </si>
  <si>
    <t>Problem 5 — E(Z) and σ_Z  (11 pts)</t>
  </si>
  <si>
    <t>Method: E(Z)=Σ z·P(z);  Var(Z)=Σ z²·P(z) − E(Z)²;  σ=√Var.</t>
  </si>
  <si>
    <t>E(Z) = Σ z·P(z)</t>
  </si>
  <si>
    <t>E(Z²) = Σ z²·P(z)</t>
  </si>
  <si>
    <t>Var(Z) = E(Z²) − E(Z)²</t>
  </si>
  <si>
    <t>σ_Z = √Var(Z)</t>
  </si>
  <si>
    <t>Problem 6 — E(XY)  (10 pts)</t>
  </si>
  <si>
    <t>Method: Σ (X·Y)·P(z) over the four outcomes.</t>
  </si>
  <si>
    <t>Answer:  E(XY) =</t>
  </si>
  <si>
    <t>Problem 7 — Win $9 at least 25 times in 100 plays  (10 pts)</t>
  </si>
  <si>
    <t>Normal approximation to the binomial. Per the exam note, this problem type is NOT on your exam — no numeric answer required. (Setup would be mean=np=26.67, sd=√(np(1−p))=4.42, then Z with continuity correction.)</t>
  </si>
  <si>
    <t>Problem 8 — Var(2X) vs Var(X+Y)  (6 pts)</t>
  </si>
  <si>
    <t>Given E(X)=E(Y)=5, Var(X)=Var(Y)=49, X and Y independent.</t>
  </si>
  <si>
    <t>Var(X) input</t>
  </si>
  <si>
    <t>Var(X+Y) = Var(X)+Var(Y)   (independence → no covariance)</t>
  </si>
  <si>
    <t>Var(2X) = 2²·Var(X)</t>
  </si>
  <si>
    <t>Answer: Var(2X) &gt; Var(X+Y)  (196 &gt; 98)</t>
  </si>
  <si>
    <t>Problem 9 — Are A and B independent?  (6 pts)</t>
  </si>
  <si>
    <t>Given P(A)=0.5, P(B)=0.3, and P((A∪B)ᶜ)=0.42.</t>
  </si>
  <si>
    <t>If independent: P(A and B)=0.5×0.3=0.15 → P(A∪B)=0.65 → P((A∪B)ᶜ)=0.35</t>
  </si>
  <si>
    <t>Answer: independence would give 0.35, but given is 0.42. Since 0.35 ≠ 0.42, A and B are NOT independent.</t>
  </si>
  <si>
    <t>CORN CHIPS (Problem 10, 25 pts)</t>
  </si>
  <si>
    <t>Claim: mean μ = 11.95 oz, sd σ = 0.22 oz. Sample n = 100 bags.</t>
  </si>
  <si>
    <t>μ (mean)</t>
  </si>
  <si>
    <t>σ (sd)</t>
  </si>
  <si>
    <t>n (sample size)</t>
  </si>
  <si>
    <t>10a — P(total of 100 bags &gt; 1194 oz)  (9 pts)</t>
  </si>
  <si>
    <t>Method: standardize the SUM — mean=n·μ, sd=√n·σ.</t>
  </si>
  <si>
    <t>Z = (1194 − nμ) / (√n·σ)</t>
  </si>
  <si>
    <t>Answer:  P(Z &gt; that) =</t>
  </si>
  <si>
    <t>10b — P(sample mean &lt; 11.97 oz)  (8 pts)</t>
  </si>
  <si>
    <t>Method: standardize the MEAN — sd of x̄ = σ/√n.</t>
  </si>
  <si>
    <t>Z = (11.97 − μ) / (σ/√n)</t>
  </si>
  <si>
    <t>Answer:  P(Z &lt; that) =</t>
  </si>
  <si>
    <t>10c — Is an individual bag approx. Normal because n &gt; 30?  (8 pts)</t>
  </si>
  <si>
    <t>Answer: No — incorrect. The CLT makes the SAMPLE MEAN (or sum) approx. normal for large n; it says nothing about an INDIVIDUAL bag, which keeps the population's shape regardless of n.</t>
  </si>
  <si>
    <t>BONUS — Binomial Distribution (expected exam type)</t>
  </si>
  <si>
    <t>Play the game n times independently. "Win" = get the top prize $9 (roll 1–4 AND red). Question: probability you win at least once in 5 plays.</t>
  </si>
  <si>
    <t>p = P(win on one play)   [= P(Z=9)]</t>
  </si>
  <si>
    <t>q = 1 − p</t>
  </si>
  <si>
    <t>Method: "at least once" = 1 − P(zero wins),  P(X=0) = qⁿ</t>
  </si>
  <si>
    <t>P(X = 0) = qⁿ</t>
  </si>
  <si>
    <t>Answer:  P(X ≥ 1) = 1 − qⁿ</t>
  </si>
  <si>
    <t>General pmf:  P(X=k) = C(n,k)·pᵏ·qⁿ⁻ᵏ</t>
  </si>
  <si>
    <t>Example — P(exactly 2 wins in 5) = COMBIN(5,2)·p²·q³</t>
  </si>
  <si>
    <t>Tip: change the "win" definition by swapping p (green ball = 0.4833, etc.); the 1 − qⁿ logic still applies.</t>
  </si>
  <si>
    <t>P(roll 5 or 6 (jar 1))</t>
  </si>
  <si>
    <t>P(roll 1–4 (jar 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</si>
</sst>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008000"/>
      <name val="Aptos Narrow"/>
      <family val="2"/>
      <scheme val="minor"/>
    </font>
    <font>
      <sz val="12"/>
      <color rgb="FF548235"/>
      <name val="Aptos Narrow"/>
      <family val="2"/>
      <scheme val="minor"/>
    </font>
    <font>
      <b/>
      <sz val="12"/>
      <color rgb="FF548235"/>
      <name val="Aptos Narrow"/>
      <family val="2"/>
      <scheme val="minor"/>
    </font>
    <font>
      <b/>
      <sz val="16"/>
      <color rgb="FF1F3864"/>
      <name val="Aptos Narrow"/>
      <family val="2"/>
      <scheme val="minor"/>
    </font>
    <font>
      <sz val="9"/>
      <color rgb="FF7F7F7F"/>
      <name val="Aptos Narrow"/>
      <family val="2"/>
      <scheme val="minor"/>
    </font>
    <font>
      <b/>
      <sz val="12"/>
      <color rgb="FF2E5496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0000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3E1"/>
        <bgColor indexed="64"/>
      </patternFill>
    </fill>
    <fill>
      <patternFill patternType="solid">
        <fgColor rgb="FF2E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64" fontId="3" fillId="0" borderId="0" xfId="0" applyNumberFormat="1" applyFont="1"/>
    <xf numFmtId="164" fontId="5" fillId="2" borderId="0" xfId="0" applyNumberFormat="1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/>
    <xf numFmtId="0" fontId="5" fillId="2" borderId="0" xfId="0" applyFont="1" applyFill="1"/>
    <xf numFmtId="0" fontId="9" fillId="3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2" fontId="2" fillId="0" borderId="0" xfId="0" applyNumberFormat="1" applyFont="1"/>
    <xf numFmtId="0" fontId="10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61CB21-C26D-7D4E-A4BC-23BFBA70A9B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0e672f8-aa3f-4131-b691-d7056ff2d4f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5349-1F73-154B-94CD-4AA63A0C0E0B}">
  <dimension ref="B2:F98"/>
  <sheetViews>
    <sheetView tabSelected="1" topLeftCell="A28" workbookViewId="0">
      <selection activeCell="C50" sqref="C50"/>
    </sheetView>
  </sheetViews>
  <sheetFormatPr baseColWidth="10" defaultRowHeight="16" x14ac:dyDescent="0.2"/>
  <cols>
    <col min="1" max="1" width="3" customWidth="1"/>
    <col min="2" max="2" width="50.1640625" customWidth="1"/>
    <col min="3" max="6" width="15.83203125" customWidth="1"/>
    <col min="7" max="7" width="3.33203125" customWidth="1"/>
  </cols>
  <sheetData>
    <row r="2" spans="2:4" ht="22" x14ac:dyDescent="0.3">
      <c r="B2" s="9" t="s">
        <v>1</v>
      </c>
    </row>
    <row r="3" spans="2:4" x14ac:dyDescent="0.2">
      <c r="B3" s="10" t="s">
        <v>2</v>
      </c>
    </row>
    <row r="5" spans="2:4" x14ac:dyDescent="0.2">
      <c r="B5" s="11" t="s">
        <v>3</v>
      </c>
    </row>
    <row r="6" spans="2:4" x14ac:dyDescent="0.2">
      <c r="B6" t="s">
        <v>4</v>
      </c>
    </row>
    <row r="8" spans="2:4" x14ac:dyDescent="0.2">
      <c r="B8" s="12" t="s">
        <v>5</v>
      </c>
      <c r="C8" s="12" t="s">
        <v>6</v>
      </c>
      <c r="D8" s="12" t="s">
        <v>7</v>
      </c>
    </row>
    <row r="9" spans="2:4" x14ac:dyDescent="0.2">
      <c r="B9" t="s">
        <v>89</v>
      </c>
      <c r="C9" s="2">
        <f>2/6</f>
        <v>0.33333333333333331</v>
      </c>
      <c r="D9" t="s">
        <v>8</v>
      </c>
    </row>
    <row r="10" spans="2:4" x14ac:dyDescent="0.2">
      <c r="B10" t="s">
        <v>90</v>
      </c>
      <c r="C10" s="2">
        <f>4/6</f>
        <v>0.66666666666666663</v>
      </c>
      <c r="D10" t="s">
        <v>9</v>
      </c>
    </row>
    <row r="11" spans="2:4" x14ac:dyDescent="0.2">
      <c r="B11" t="s">
        <v>10</v>
      </c>
      <c r="C11" s="2">
        <f>5/20</f>
        <v>0.25</v>
      </c>
      <c r="D11" t="s">
        <v>11</v>
      </c>
    </row>
    <row r="12" spans="2:4" x14ac:dyDescent="0.2">
      <c r="B12" t="s">
        <v>12</v>
      </c>
      <c r="C12" s="2">
        <f>15/20</f>
        <v>0.75</v>
      </c>
      <c r="D12" t="s">
        <v>13</v>
      </c>
    </row>
    <row r="13" spans="2:4" x14ac:dyDescent="0.2">
      <c r="B13" t="s">
        <v>14</v>
      </c>
      <c r="C13" s="2">
        <f>12/20</f>
        <v>0.6</v>
      </c>
      <c r="D13" t="s">
        <v>15</v>
      </c>
    </row>
    <row r="14" spans="2:4" x14ac:dyDescent="0.2">
      <c r="B14" t="s">
        <v>16</v>
      </c>
      <c r="C14" s="2">
        <f>8/20</f>
        <v>0.4</v>
      </c>
      <c r="D14" t="s">
        <v>17</v>
      </c>
    </row>
    <row r="16" spans="2:4" x14ac:dyDescent="0.2">
      <c r="B16" s="11" t="s">
        <v>18</v>
      </c>
    </row>
    <row r="17" spans="2:3" x14ac:dyDescent="0.2">
      <c r="B17" t="s">
        <v>19</v>
      </c>
    </row>
    <row r="18" spans="2:3" x14ac:dyDescent="0.2">
      <c r="B18" t="s">
        <v>20</v>
      </c>
    </row>
    <row r="19" spans="2:3" x14ac:dyDescent="0.2">
      <c r="B19" s="4" t="s">
        <v>21</v>
      </c>
      <c r="C19" s="8">
        <f>C11*C9+C13*C10</f>
        <v>0.48333333333333328</v>
      </c>
    </row>
    <row r="21" spans="2:3" x14ac:dyDescent="0.2">
      <c r="B21" s="11" t="s">
        <v>22</v>
      </c>
    </row>
    <row r="22" spans="2:3" x14ac:dyDescent="0.2">
      <c r="B22" t="s">
        <v>23</v>
      </c>
    </row>
    <row r="23" spans="2:3" x14ac:dyDescent="0.2">
      <c r="B23" t="s">
        <v>24</v>
      </c>
    </row>
    <row r="24" spans="2:3" x14ac:dyDescent="0.2">
      <c r="B24" s="4" t="s">
        <v>25</v>
      </c>
      <c r="C24" s="8">
        <f>(C11*C9)/C19</f>
        <v>0.17241379310344829</v>
      </c>
    </row>
    <row r="26" spans="2:3" x14ac:dyDescent="0.2">
      <c r="B26" s="11" t="s">
        <v>26</v>
      </c>
    </row>
    <row r="27" spans="2:3" x14ac:dyDescent="0.2">
      <c r="B27" t="s">
        <v>27</v>
      </c>
    </row>
    <row r="28" spans="2:3" x14ac:dyDescent="0.2">
      <c r="B28" t="s">
        <v>28</v>
      </c>
    </row>
    <row r="29" spans="2:3" x14ac:dyDescent="0.2">
      <c r="B29" s="4" t="s">
        <v>29</v>
      </c>
      <c r="C29" s="8">
        <f>C10+C19-(C13*C10)</f>
        <v>0.75</v>
      </c>
    </row>
    <row r="31" spans="2:3" x14ac:dyDescent="0.2">
      <c r="B31" s="11" t="s">
        <v>30</v>
      </c>
    </row>
    <row r="32" spans="2:3" x14ac:dyDescent="0.2">
      <c r="B32" t="s">
        <v>31</v>
      </c>
    </row>
    <row r="34" spans="2:6" x14ac:dyDescent="0.2">
      <c r="B34" s="11" t="s">
        <v>32</v>
      </c>
    </row>
    <row r="35" spans="2:6" x14ac:dyDescent="0.2">
      <c r="B35" s="12" t="s">
        <v>33</v>
      </c>
      <c r="C35" s="14" t="s">
        <v>34</v>
      </c>
      <c r="D35" s="14" t="s">
        <v>35</v>
      </c>
      <c r="E35" s="14" t="s">
        <v>36</v>
      </c>
      <c r="F35" s="14" t="s">
        <v>37</v>
      </c>
    </row>
    <row r="36" spans="2:6" x14ac:dyDescent="0.2">
      <c r="B36" t="s">
        <v>38</v>
      </c>
      <c r="C36" s="1">
        <v>2</v>
      </c>
      <c r="D36" s="1">
        <v>3</v>
      </c>
      <c r="E36" s="1">
        <v>5</v>
      </c>
      <c r="F36" s="2">
        <f>C9*C11</f>
        <v>8.3333333333333329E-2</v>
      </c>
    </row>
    <row r="37" spans="2:6" x14ac:dyDescent="0.2">
      <c r="B37" t="s">
        <v>39</v>
      </c>
      <c r="C37" s="1">
        <v>2</v>
      </c>
      <c r="D37" s="1">
        <v>4</v>
      </c>
      <c r="E37" s="1">
        <v>6</v>
      </c>
      <c r="F37" s="2">
        <f>C9*C12</f>
        <v>0.25</v>
      </c>
    </row>
    <row r="38" spans="2:6" x14ac:dyDescent="0.2">
      <c r="B38" t="s">
        <v>40</v>
      </c>
      <c r="C38" s="1">
        <v>5</v>
      </c>
      <c r="D38" s="1">
        <v>3</v>
      </c>
      <c r="E38" s="1">
        <v>8</v>
      </c>
      <c r="F38" s="2">
        <f>C10*C13</f>
        <v>0.39999999999999997</v>
      </c>
    </row>
    <row r="39" spans="2:6" x14ac:dyDescent="0.2">
      <c r="B39" t="s">
        <v>41</v>
      </c>
      <c r="C39" s="1">
        <v>5</v>
      </c>
      <c r="D39" s="1">
        <v>4</v>
      </c>
      <c r="E39" s="1">
        <v>9</v>
      </c>
      <c r="F39" s="2">
        <f>C10*C14</f>
        <v>0.26666666666666666</v>
      </c>
    </row>
    <row r="40" spans="2:6" x14ac:dyDescent="0.2">
      <c r="B40" s="15" t="s">
        <v>42</v>
      </c>
      <c r="C40" s="16"/>
      <c r="D40" s="16"/>
      <c r="E40" s="16"/>
      <c r="F40" s="8">
        <f>SUM(F36:F39)</f>
        <v>1</v>
      </c>
    </row>
    <row r="42" spans="2:6" x14ac:dyDescent="0.2">
      <c r="B42" s="11" t="s">
        <v>43</v>
      </c>
    </row>
    <row r="43" spans="2:6" x14ac:dyDescent="0.2">
      <c r="B43" t="s">
        <v>44</v>
      </c>
    </row>
    <row r="44" spans="2:6" x14ac:dyDescent="0.2">
      <c r="B44" s="4" t="s">
        <v>45</v>
      </c>
      <c r="C44" s="8">
        <f>SUMPRODUCT(E36:E39,F36:F39)</f>
        <v>7.5166666666666657</v>
      </c>
    </row>
    <row r="45" spans="2:6" x14ac:dyDescent="0.2">
      <c r="B45" t="s">
        <v>46</v>
      </c>
      <c r="C45" s="2">
        <f>SUMPRODUCT(E36:E39,E36:E39,F36:F39)</f>
        <v>58.283333333333331</v>
      </c>
    </row>
    <row r="46" spans="2:6" x14ac:dyDescent="0.2">
      <c r="B46" t="s">
        <v>47</v>
      </c>
      <c r="C46" s="2">
        <f>C45-C44^2</f>
        <v>1.7830555555555705</v>
      </c>
    </row>
    <row r="47" spans="2:6" x14ac:dyDescent="0.2">
      <c r="B47" s="4" t="s">
        <v>48</v>
      </c>
      <c r="C47" s="8">
        <f>SQRT(C46)</f>
        <v>1.3353110332636253</v>
      </c>
    </row>
    <row r="49" spans="2:3" x14ac:dyDescent="0.2">
      <c r="B49" s="11" t="s">
        <v>49</v>
      </c>
    </row>
    <row r="50" spans="2:3" x14ac:dyDescent="0.2">
      <c r="B50" t="s">
        <v>50</v>
      </c>
    </row>
    <row r="51" spans="2:3" x14ac:dyDescent="0.2">
      <c r="B51" s="4" t="s">
        <v>51</v>
      </c>
      <c r="C51" s="8">
        <f>SUMPRODUCT(C36:C39,D36:D39,F36:F39)</f>
        <v>13.833333333333332</v>
      </c>
    </row>
    <row r="53" spans="2:3" x14ac:dyDescent="0.2">
      <c r="B53" s="11" t="s">
        <v>52</v>
      </c>
    </row>
    <row r="54" spans="2:3" x14ac:dyDescent="0.2">
      <c r="B54" t="s">
        <v>53</v>
      </c>
    </row>
    <row r="56" spans="2:3" x14ac:dyDescent="0.2">
      <c r="B56" s="11" t="s">
        <v>54</v>
      </c>
    </row>
    <row r="57" spans="2:3" x14ac:dyDescent="0.2">
      <c r="B57" t="s">
        <v>55</v>
      </c>
    </row>
    <row r="58" spans="2:3" x14ac:dyDescent="0.2">
      <c r="B58" s="5" t="s">
        <v>56</v>
      </c>
      <c r="C58" s="6">
        <v>49</v>
      </c>
    </row>
    <row r="59" spans="2:3" x14ac:dyDescent="0.2">
      <c r="B59" t="s">
        <v>57</v>
      </c>
      <c r="C59" s="17">
        <f>C58+C58</f>
        <v>98</v>
      </c>
    </row>
    <row r="60" spans="2:3" x14ac:dyDescent="0.2">
      <c r="B60" t="s">
        <v>58</v>
      </c>
      <c r="C60" s="17">
        <f>4*C58</f>
        <v>196</v>
      </c>
    </row>
    <row r="61" spans="2:3" x14ac:dyDescent="0.2">
      <c r="B61" s="13" t="s">
        <v>59</v>
      </c>
    </row>
    <row r="63" spans="2:3" x14ac:dyDescent="0.2">
      <c r="B63" s="11" t="s">
        <v>60</v>
      </c>
    </row>
    <row r="64" spans="2:3" x14ac:dyDescent="0.2">
      <c r="B64" t="s">
        <v>61</v>
      </c>
    </row>
    <row r="65" spans="2:3" x14ac:dyDescent="0.2">
      <c r="B65" t="s">
        <v>62</v>
      </c>
    </row>
    <row r="66" spans="2:3" x14ac:dyDescent="0.2">
      <c r="B66" s="13" t="s">
        <v>63</v>
      </c>
    </row>
    <row r="68" spans="2:3" x14ac:dyDescent="0.2">
      <c r="B68" s="11" t="s">
        <v>64</v>
      </c>
    </row>
    <row r="69" spans="2:3" x14ac:dyDescent="0.2">
      <c r="B69" t="s">
        <v>65</v>
      </c>
    </row>
    <row r="70" spans="2:3" x14ac:dyDescent="0.2">
      <c r="B70" s="5" t="s">
        <v>66</v>
      </c>
      <c r="C70" s="18">
        <v>11.95</v>
      </c>
    </row>
    <row r="71" spans="2:3" x14ac:dyDescent="0.2">
      <c r="B71" s="5" t="s">
        <v>67</v>
      </c>
      <c r="C71" s="18">
        <v>0.22</v>
      </c>
    </row>
    <row r="72" spans="2:3" x14ac:dyDescent="0.2">
      <c r="B72" s="5" t="s">
        <v>68</v>
      </c>
      <c r="C72" s="6">
        <v>100</v>
      </c>
    </row>
    <row r="74" spans="2:3" x14ac:dyDescent="0.2">
      <c r="B74" s="19" t="s">
        <v>69</v>
      </c>
    </row>
    <row r="75" spans="2:3" x14ac:dyDescent="0.2">
      <c r="B75" s="5" t="s">
        <v>70</v>
      </c>
    </row>
    <row r="76" spans="2:3" x14ac:dyDescent="0.2">
      <c r="B76" s="5" t="s">
        <v>71</v>
      </c>
      <c r="C76" s="3">
        <f>(1194-C72*C70)/(SQRT(C72)*C71)</f>
        <v>-0.45454545454545453</v>
      </c>
    </row>
    <row r="77" spans="2:3" x14ac:dyDescent="0.2">
      <c r="B77" s="19" t="s">
        <v>72</v>
      </c>
      <c r="C77" s="8">
        <f>1-_xlfn.NORM.S.DIST(C76,TRUE)</f>
        <v>0.67528185813662267</v>
      </c>
    </row>
    <row r="79" spans="2:3" x14ac:dyDescent="0.2">
      <c r="B79" s="4" t="s">
        <v>73</v>
      </c>
    </row>
    <row r="80" spans="2:3" x14ac:dyDescent="0.2">
      <c r="B80" t="s">
        <v>74</v>
      </c>
    </row>
    <row r="81" spans="2:3" x14ac:dyDescent="0.2">
      <c r="B81" t="s">
        <v>75</v>
      </c>
      <c r="C81" s="3">
        <f>(11.97-C70)/(C71/SQRT(C72))</f>
        <v>0.90909090909097046</v>
      </c>
    </row>
    <row r="82" spans="2:3" x14ac:dyDescent="0.2">
      <c r="B82" s="4" t="s">
        <v>76</v>
      </c>
      <c r="C82" s="8">
        <f>_xlfn.NORM.S.DIST(C81,TRUE)</f>
        <v>0.81834892955656724</v>
      </c>
    </row>
    <row r="84" spans="2:3" x14ac:dyDescent="0.2">
      <c r="B84" s="4" t="s">
        <v>77</v>
      </c>
    </row>
    <row r="85" spans="2:3" x14ac:dyDescent="0.2">
      <c r="B85" s="20" t="s">
        <v>78</v>
      </c>
    </row>
    <row r="87" spans="2:3" x14ac:dyDescent="0.2">
      <c r="B87" s="11" t="s">
        <v>79</v>
      </c>
    </row>
    <row r="88" spans="2:3" x14ac:dyDescent="0.2">
      <c r="B88" t="s">
        <v>80</v>
      </c>
    </row>
    <row r="89" spans="2:3" x14ac:dyDescent="0.2">
      <c r="B89" s="4" t="s">
        <v>0</v>
      </c>
      <c r="C89" s="6">
        <v>5</v>
      </c>
    </row>
    <row r="90" spans="2:3" x14ac:dyDescent="0.2">
      <c r="B90" s="4" t="s">
        <v>81</v>
      </c>
      <c r="C90" s="7">
        <f>F39</f>
        <v>0.26666666666666666</v>
      </c>
    </row>
    <row r="91" spans="2:3" x14ac:dyDescent="0.2">
      <c r="B91" t="s">
        <v>82</v>
      </c>
      <c r="C91" s="2">
        <f>1-C90</f>
        <v>0.73333333333333339</v>
      </c>
    </row>
    <row r="92" spans="2:3" x14ac:dyDescent="0.2">
      <c r="B92" t="s">
        <v>83</v>
      </c>
    </row>
    <row r="93" spans="2:3" x14ac:dyDescent="0.2">
      <c r="B93" t="s">
        <v>84</v>
      </c>
      <c r="C93" s="2">
        <f>C91^C89</f>
        <v>0.21208362139917708</v>
      </c>
    </row>
    <row r="94" spans="2:3" x14ac:dyDescent="0.2">
      <c r="B94" s="4" t="s">
        <v>85</v>
      </c>
      <c r="C94" s="8">
        <f>1-C93</f>
        <v>0.78791637860082298</v>
      </c>
    </row>
    <row r="96" spans="2:3" x14ac:dyDescent="0.2">
      <c r="B96" t="s">
        <v>86</v>
      </c>
    </row>
    <row r="97" spans="2:3" x14ac:dyDescent="0.2">
      <c r="B97" t="s">
        <v>87</v>
      </c>
      <c r="C97" s="2">
        <f>COMBIN(C89,2)*C90^2*C91^3</f>
        <v>0.28044115226337457</v>
      </c>
    </row>
    <row r="98" spans="2:3" x14ac:dyDescent="0.2">
      <c r="B98" s="1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Solutions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Niall Gallagher</dc:creator>
  <cp:lastModifiedBy>Niall Gallagher</cp:lastModifiedBy>
  <dcterms:created xsi:type="dcterms:W3CDTF">2026-07-13T00:34:12Z</dcterms:created>
  <dcterms:modified xsi:type="dcterms:W3CDTF">2026-07-13T18:23:43Z</dcterms:modified>
</cp:coreProperties>
</file>