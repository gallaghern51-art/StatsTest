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g2061\Desktop\"/>
    </mc:Choice>
  </mc:AlternateContent>
  <xr:revisionPtr revIDLastSave="0" documentId="8_{55BDBE42-47D8-4C3E-B8C6-4EFBEDD218EF}" xr6:coauthVersionLast="47" xr6:coauthVersionMax="47" xr10:uidLastSave="{00000000-0000-0000-0000-000000000000}"/>
  <bookViews>
    <workbookView xWindow="-110" yWindow="-110" windowWidth="19420" windowHeight="10300" xr2:uid="{F16489AE-6552-418A-9A92-C9A3C3894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6" i="1" l="1"/>
  <c r="F14" i="1"/>
  <c r="F12" i="1"/>
  <c r="F10" i="1"/>
  <c r="F8" i="1"/>
  <c r="F6" i="1"/>
</calcChain>
</file>

<file path=xl/sharedStrings.xml><?xml version="1.0" encoding="utf-8"?>
<sst xmlns="http://schemas.openxmlformats.org/spreadsheetml/2006/main" count="15" uniqueCount="15">
  <si>
    <t xml:space="preserve">Covariance Review Problems </t>
  </si>
  <si>
    <t xml:space="preserve">Let E(X) = 100, E(Y) = 80, and E(Z) = 110. Let Var(X) = 100, Var(Y) = 144, and Var(Z) = 400. </t>
  </si>
  <si>
    <t xml:space="preserve">Let the Correlation between X and Y be .8, Correlation between X and Z be -.5, and Correlation between Y and Z be .6. </t>
  </si>
  <si>
    <t xml:space="preserve">1. Find Cov(X,Y) </t>
  </si>
  <si>
    <t>rho_xy * sigma_x * sigma_y</t>
  </si>
  <si>
    <t xml:space="preserve">2. Find Cov(X,Z) </t>
  </si>
  <si>
    <t>rho_xz * sigma_x * sigma_z</t>
  </si>
  <si>
    <t xml:space="preserve">3. Find Cov(Y,Z) </t>
  </si>
  <si>
    <t>rho_yz * sigma_y * sigma_z</t>
  </si>
  <si>
    <t xml:space="preserve">4. Find Cov(2X,3Y) </t>
  </si>
  <si>
    <t>2*3*Cov(X,Y)</t>
  </si>
  <si>
    <t>Var(X) + Var(Y) + 2Cov(X,Y)</t>
  </si>
  <si>
    <t>3^2*Var(X) + 5^2*Var(Z) + 2*3*5*Cov(X,Z)</t>
  </si>
  <si>
    <t xml:space="preserve">5. Find Var(X+Y) </t>
  </si>
  <si>
    <t xml:space="preserve">6. Find Var(3x+5Z)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</si>
</sst>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indent="1"/>
    </xf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DCFA4-6275-4928-A596-20E2E111896A}">
  <dimension ref="A1:F16"/>
  <sheetViews>
    <sheetView tabSelected="1" topLeftCell="A2" zoomScale="120" zoomScaleNormal="120" workbookViewId="0">
      <selection activeCell="F17" sqref="F17"/>
    </sheetView>
  </sheetViews>
  <sheetFormatPr defaultRowHeight="14.5" x14ac:dyDescent="0.35"/>
  <cols>
    <col min="3" max="3" width="19.26953125" bestFit="1" customWidth="1"/>
    <col min="6" max="6" width="14.26953125" bestFit="1" customWidth="1"/>
  </cols>
  <sheetData>
    <row r="1" spans="1:6" x14ac:dyDescent="0.35">
      <c r="A1" t="s">
        <v>0</v>
      </c>
    </row>
    <row r="3" spans="1:6" x14ac:dyDescent="0.35">
      <c r="A3" t="s">
        <v>1</v>
      </c>
    </row>
    <row r="4" spans="1:6" x14ac:dyDescent="0.35">
      <c r="A4" s="1" t="s">
        <v>2</v>
      </c>
    </row>
    <row r="5" spans="1:6" x14ac:dyDescent="0.35">
      <c r="A5" s="1"/>
    </row>
    <row r="6" spans="1:6" x14ac:dyDescent="0.35">
      <c r="A6" s="1" t="s">
        <v>3</v>
      </c>
      <c r="C6" t="s">
        <v>4</v>
      </c>
      <c r="F6" s="2">
        <f>0.8*10*12</f>
        <v>96</v>
      </c>
    </row>
    <row r="7" spans="1:6" x14ac:dyDescent="0.35">
      <c r="A7" s="1"/>
      <c r="F7" s="3"/>
    </row>
    <row r="8" spans="1:6" x14ac:dyDescent="0.35">
      <c r="A8" s="1" t="s">
        <v>5</v>
      </c>
      <c r="C8" t="s">
        <v>6</v>
      </c>
      <c r="F8" s="2">
        <f>-0.5*10*20</f>
        <v>-100</v>
      </c>
    </row>
    <row r="9" spans="1:6" x14ac:dyDescent="0.35">
      <c r="A9" s="1"/>
      <c r="F9" s="2"/>
    </row>
    <row r="10" spans="1:6" x14ac:dyDescent="0.35">
      <c r="A10" s="1" t="s">
        <v>7</v>
      </c>
      <c r="C10" t="s">
        <v>8</v>
      </c>
      <c r="F10" s="2">
        <f>0.6*12*20</f>
        <v>144</v>
      </c>
    </row>
    <row r="11" spans="1:6" x14ac:dyDescent="0.35">
      <c r="A11" s="1"/>
      <c r="F11" s="2"/>
    </row>
    <row r="12" spans="1:6" x14ac:dyDescent="0.35">
      <c r="A12" s="1" t="s">
        <v>9</v>
      </c>
      <c r="C12" t="s">
        <v>10</v>
      </c>
      <c r="F12" s="2">
        <f>2*3*F6</f>
        <v>576</v>
      </c>
    </row>
    <row r="13" spans="1:6" x14ac:dyDescent="0.35">
      <c r="F13" s="2"/>
    </row>
    <row r="14" spans="1:6" x14ac:dyDescent="0.35">
      <c r="A14" s="1" t="s">
        <v>13</v>
      </c>
      <c r="C14" t="s">
        <v>11</v>
      </c>
      <c r="F14" s="2">
        <f>100+144+2*F6</f>
        <v>436</v>
      </c>
    </row>
    <row r="15" spans="1:6" x14ac:dyDescent="0.35">
      <c r="A15" s="1"/>
      <c r="F15" s="2"/>
    </row>
    <row r="16" spans="1:6" x14ac:dyDescent="0.35">
      <c r="A16" s="1" t="s">
        <v>14</v>
      </c>
      <c r="C16" t="s">
        <v>12</v>
      </c>
      <c r="F16" s="2">
        <f>3^2*100+5^2*400 + 2*3*5*F8</f>
        <v>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NYU Stern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Avi. H Giloni</cp:lastModifiedBy>
  <dcterms:created xsi:type="dcterms:W3CDTF">2023-02-13T13:10:06Z</dcterms:created>
  <dcterms:modified xsi:type="dcterms:W3CDTF">2026-07-07T18:53:22Z</dcterms:modified>
</cp:coreProperties>
</file>